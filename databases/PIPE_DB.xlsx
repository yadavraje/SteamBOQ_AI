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jects_AI\SteamBOQ_AI\databases\"/>
    </mc:Choice>
  </mc:AlternateContent>
  <xr:revisionPtr revIDLastSave="0" documentId="13_ncr:1_{86D08948-73FC-4156-85CF-97A726E5B95A}" xr6:coauthVersionLast="47" xr6:coauthVersionMax="47" xr10:uidLastSave="{00000000-0000-0000-0000-000000000000}"/>
  <bookViews>
    <workbookView xWindow="2160" yWindow="2160" windowWidth="17280" windowHeight="8964" xr2:uid="{00000000-000D-0000-FFFF-FFFF00000000}"/>
  </bookViews>
  <sheets>
    <sheet name="Pipe_Dimensions" sheetId="1" r:id="rId1"/>
    <sheet name="Abs_Roughnes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2" i="1"/>
  <c r="F2" i="1" s="1"/>
</calcChain>
</file>

<file path=xl/sharedStrings.xml><?xml version="1.0" encoding="utf-8"?>
<sst xmlns="http://schemas.openxmlformats.org/spreadsheetml/2006/main" count="154" uniqueCount="44">
  <si>
    <t>Schedule</t>
  </si>
  <si>
    <t>1/8</t>
  </si>
  <si>
    <t>1/4</t>
  </si>
  <si>
    <t>3/8</t>
  </si>
  <si>
    <t>1/2</t>
  </si>
  <si>
    <t>3/4</t>
  </si>
  <si>
    <t>1</t>
  </si>
  <si>
    <t>1-1/4</t>
  </si>
  <si>
    <t>1-1/2</t>
  </si>
  <si>
    <t>2</t>
  </si>
  <si>
    <t>2-1/2</t>
  </si>
  <si>
    <t>3</t>
  </si>
  <si>
    <t>4</t>
  </si>
  <si>
    <t>5</t>
  </si>
  <si>
    <t>6</t>
  </si>
  <si>
    <t>8</t>
  </si>
  <si>
    <t>10</t>
  </si>
  <si>
    <t>12</t>
  </si>
  <si>
    <t>14</t>
  </si>
  <si>
    <t>16</t>
  </si>
  <si>
    <t>18</t>
  </si>
  <si>
    <t>20</t>
  </si>
  <si>
    <t>24</t>
  </si>
  <si>
    <t>Material</t>
  </si>
  <si>
    <t>CS</t>
  </si>
  <si>
    <t>NPS</t>
  </si>
  <si>
    <t>NB</t>
  </si>
  <si>
    <t>OD_mm</t>
  </si>
  <si>
    <t>Thickness_mm</t>
  </si>
  <si>
    <t>ID_mm</t>
  </si>
  <si>
    <t>Internal_Flow_Area_m2</t>
  </si>
  <si>
    <t>Max_Pressure_barg</t>
  </si>
  <si>
    <t>Max_Temperature_C</t>
  </si>
  <si>
    <t>Insulation_OD_mm</t>
  </si>
  <si>
    <t>Paint_Area_m2_per_m</t>
  </si>
  <si>
    <t>Rate_Rs_per_m</t>
  </si>
  <si>
    <t>Weight_kg_per_m</t>
  </si>
  <si>
    <t>Pipe_Series</t>
  </si>
  <si>
    <t>ASME B36.10M</t>
  </si>
  <si>
    <t>Absolute_Roughness_mm</t>
  </si>
  <si>
    <t>Absolute Roughness (mm)</t>
  </si>
  <si>
    <t>SS304</t>
  </si>
  <si>
    <t>SS316</t>
  </si>
  <si>
    <t>HDPE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</si>
</sst>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21252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0" fillId="0" borderId="1" xfId="0" applyBorder="1"/>
    <xf numFmtId="1" fontId="3" fillId="0" borderId="1" xfId="0" applyNumberFormat="1" applyFont="1" applyBorder="1" applyAlignment="1">
      <alignment vertical="top" wrapText="1"/>
    </xf>
    <xf numFmtId="2" fontId="3" fillId="0" borderId="1" xfId="0" applyNumberFormat="1" applyFont="1" applyBorder="1" applyAlignment="1">
      <alignment vertical="top" wrapText="1"/>
    </xf>
    <xf numFmtId="0" fontId="0" fillId="0" borderId="1" xfId="0" applyBorder="1" applyAlignment="1">
      <alignment horizontal="right" vertical="center" wrapText="1"/>
    </xf>
    <xf numFmtId="2" fontId="0" fillId="0" borderId="1" xfId="0" applyNumberForma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tabSelected="1" workbookViewId="0">
      <selection activeCell="H1" sqref="H1"/>
    </sheetView>
  </sheetViews>
  <sheetFormatPr defaultRowHeight="14.4" x14ac:dyDescent="0.3"/>
  <cols>
    <col min="1" max="1" width="5.44140625" bestFit="1" customWidth="1"/>
    <col min="2" max="2" width="4" bestFit="1" customWidth="1"/>
    <col min="3" max="3" width="8.6640625" bestFit="1" customWidth="1"/>
    <col min="4" max="4" width="13.5546875" bestFit="1" customWidth="1"/>
    <col min="5" max="5" width="7.109375" bestFit="1" customWidth="1"/>
    <col min="6" max="6" width="11" bestFit="1" customWidth="1"/>
    <col min="7" max="7" width="8.6640625" bestFit="1" customWidth="1"/>
    <col min="8" max="9" width="8.6640625" customWidth="1"/>
    <col min="11" max="11" width="13.44140625" bestFit="1" customWidth="1"/>
    <col min="17" max="17" width="11.5546875" bestFit="1" customWidth="1"/>
  </cols>
  <sheetData>
    <row r="1" spans="1:16" x14ac:dyDescent="0.3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0</v>
      </c>
      <c r="H1" s="1" t="s">
        <v>37</v>
      </c>
      <c r="I1" s="1" t="s">
        <v>23</v>
      </c>
      <c r="J1" s="1" t="s">
        <v>39</v>
      </c>
      <c r="K1" s="1" t="s">
        <v>36</v>
      </c>
      <c r="L1" s="1" t="s">
        <v>34</v>
      </c>
      <c r="M1" s="1" t="s">
        <v>33</v>
      </c>
      <c r="N1" s="1" t="s">
        <v>31</v>
      </c>
      <c r="O1" s="1" t="s">
        <v>32</v>
      </c>
      <c r="P1" s="1" t="s">
        <v>35</v>
      </c>
    </row>
    <row r="2" spans="1:16" x14ac:dyDescent="0.3">
      <c r="A2" s="2" t="s">
        <v>1</v>
      </c>
      <c r="B2" s="3">
        <v>6</v>
      </c>
      <c r="C2" s="2">
        <v>10.3</v>
      </c>
      <c r="D2" s="2">
        <v>1.73</v>
      </c>
      <c r="E2" s="6">
        <f>C2-D2</f>
        <v>8.57</v>
      </c>
      <c r="F2" s="2">
        <f t="shared" ref="F2:F45" si="0">ROUND(PI(),3)*E2*E2/(4*1000*1000)</f>
        <v>5.769096895E-5</v>
      </c>
      <c r="G2" s="2">
        <v>40</v>
      </c>
      <c r="H2" s="2" t="s">
        <v>38</v>
      </c>
      <c r="I2" s="2" t="s">
        <v>24</v>
      </c>
      <c r="J2" s="2">
        <v>4.4999999999999998E-2</v>
      </c>
      <c r="K2" s="4">
        <v>0.37</v>
      </c>
      <c r="L2" s="2"/>
      <c r="M2" s="2"/>
      <c r="N2" s="2"/>
      <c r="O2" s="2"/>
      <c r="P2" s="2"/>
    </row>
    <row r="3" spans="1:16" x14ac:dyDescent="0.3">
      <c r="A3" s="2" t="s">
        <v>2</v>
      </c>
      <c r="B3" s="3">
        <v>8</v>
      </c>
      <c r="C3" s="2">
        <v>13.7</v>
      </c>
      <c r="D3" s="2">
        <v>2.2400000000000002</v>
      </c>
      <c r="E3" s="6">
        <f t="shared" ref="E3:E45" si="1">C3-D3</f>
        <v>11.459999999999999</v>
      </c>
      <c r="F3" s="2">
        <f t="shared" si="0"/>
        <v>1.0316097179999998E-4</v>
      </c>
      <c r="G3" s="2">
        <v>40</v>
      </c>
      <c r="H3" s="2" t="s">
        <v>38</v>
      </c>
      <c r="I3" s="2" t="s">
        <v>24</v>
      </c>
      <c r="J3" s="2">
        <v>4.4999999999999998E-2</v>
      </c>
      <c r="K3" s="4">
        <v>0.84</v>
      </c>
      <c r="L3" s="2"/>
      <c r="M3" s="7"/>
      <c r="N3" s="7"/>
      <c r="O3" s="8"/>
      <c r="P3" s="2"/>
    </row>
    <row r="4" spans="1:16" x14ac:dyDescent="0.3">
      <c r="A4" s="2" t="s">
        <v>3</v>
      </c>
      <c r="B4" s="3">
        <v>10</v>
      </c>
      <c r="C4" s="2">
        <v>17.100000000000001</v>
      </c>
      <c r="D4" s="2">
        <v>2.31</v>
      </c>
      <c r="E4" s="6">
        <f t="shared" si="1"/>
        <v>14.790000000000001</v>
      </c>
      <c r="F4" s="2">
        <f t="shared" si="0"/>
        <v>1.7182349054999999E-4</v>
      </c>
      <c r="G4" s="2">
        <v>40</v>
      </c>
      <c r="H4" s="2" t="s">
        <v>38</v>
      </c>
      <c r="I4" s="2" t="s">
        <v>24</v>
      </c>
      <c r="J4" s="2">
        <v>4.4999999999999998E-2</v>
      </c>
      <c r="K4" s="4">
        <v>1.27</v>
      </c>
      <c r="L4" s="2"/>
      <c r="M4" s="9"/>
      <c r="N4" s="9"/>
      <c r="O4" s="2"/>
      <c r="P4" s="2"/>
    </row>
    <row r="5" spans="1:16" x14ac:dyDescent="0.3">
      <c r="A5" s="2" t="s">
        <v>4</v>
      </c>
      <c r="B5" s="2">
        <v>15</v>
      </c>
      <c r="C5" s="2">
        <v>21.3</v>
      </c>
      <c r="D5" s="2">
        <v>2.77</v>
      </c>
      <c r="E5" s="6">
        <f t="shared" si="1"/>
        <v>18.53</v>
      </c>
      <c r="F5" s="2">
        <f t="shared" si="0"/>
        <v>2.6970998695000005E-4</v>
      </c>
      <c r="G5" s="2">
        <v>40</v>
      </c>
      <c r="H5" s="2" t="s">
        <v>38</v>
      </c>
      <c r="I5" s="2" t="s">
        <v>24</v>
      </c>
      <c r="J5" s="2">
        <v>4.4999999999999998E-2</v>
      </c>
      <c r="K5" s="4">
        <v>1.69</v>
      </c>
      <c r="L5" s="2"/>
      <c r="M5" s="9"/>
      <c r="N5" s="9"/>
      <c r="O5" s="2"/>
      <c r="P5" s="2"/>
    </row>
    <row r="6" spans="1:16" x14ac:dyDescent="0.3">
      <c r="A6" s="2" t="s">
        <v>5</v>
      </c>
      <c r="B6" s="3">
        <v>20</v>
      </c>
      <c r="C6" s="2">
        <v>26.7</v>
      </c>
      <c r="D6" s="2">
        <v>2.87</v>
      </c>
      <c r="E6" s="6">
        <f t="shared" si="1"/>
        <v>23.83</v>
      </c>
      <c r="F6" s="2">
        <f t="shared" si="0"/>
        <v>4.4606102094999996E-4</v>
      </c>
      <c r="G6" s="2">
        <v>40</v>
      </c>
      <c r="H6" s="2" t="s">
        <v>38</v>
      </c>
      <c r="I6" s="2" t="s">
        <v>24</v>
      </c>
      <c r="J6" s="2">
        <v>4.4999999999999998E-2</v>
      </c>
      <c r="K6" s="4">
        <v>2.5</v>
      </c>
      <c r="L6" s="2"/>
      <c r="M6" s="9"/>
      <c r="N6" s="9"/>
      <c r="O6" s="2"/>
      <c r="P6" s="2"/>
    </row>
    <row r="7" spans="1:16" x14ac:dyDescent="0.3">
      <c r="A7" s="2" t="s">
        <v>6</v>
      </c>
      <c r="B7" s="3">
        <v>25</v>
      </c>
      <c r="C7" s="2">
        <v>33.4</v>
      </c>
      <c r="D7" s="2">
        <v>3.38</v>
      </c>
      <c r="E7" s="6">
        <f t="shared" si="1"/>
        <v>30.02</v>
      </c>
      <c r="F7" s="2">
        <f t="shared" si="0"/>
        <v>7.0789291419999999E-4</v>
      </c>
      <c r="G7" s="2">
        <v>40</v>
      </c>
      <c r="H7" s="2" t="s">
        <v>38</v>
      </c>
      <c r="I7" s="2" t="s">
        <v>24</v>
      </c>
      <c r="J7" s="2">
        <v>4.4999999999999998E-2</v>
      </c>
      <c r="K7" s="4">
        <v>3.39</v>
      </c>
      <c r="L7" s="2"/>
      <c r="M7" s="9"/>
      <c r="N7" s="9"/>
      <c r="O7" s="2"/>
      <c r="P7" s="2"/>
    </row>
    <row r="8" spans="1:16" x14ac:dyDescent="0.3">
      <c r="A8" s="2" t="s">
        <v>7</v>
      </c>
      <c r="B8" s="3">
        <v>32</v>
      </c>
      <c r="C8" s="2">
        <v>42.2</v>
      </c>
      <c r="D8" s="2">
        <v>3.56</v>
      </c>
      <c r="E8" s="6">
        <f t="shared" si="1"/>
        <v>38.64</v>
      </c>
      <c r="F8" s="2">
        <f t="shared" si="0"/>
        <v>1.1727904608000001E-3</v>
      </c>
      <c r="G8" s="2">
        <v>40</v>
      </c>
      <c r="H8" s="2" t="s">
        <v>38</v>
      </c>
      <c r="I8" s="2" t="s">
        <v>24</v>
      </c>
      <c r="J8" s="2">
        <v>4.4999999999999998E-2</v>
      </c>
      <c r="K8" s="4">
        <v>4.05</v>
      </c>
      <c r="L8" s="2"/>
      <c r="M8" s="9"/>
      <c r="N8" s="9"/>
      <c r="O8" s="2"/>
      <c r="P8" s="2"/>
    </row>
    <row r="9" spans="1:16" x14ac:dyDescent="0.3">
      <c r="A9" s="2" t="s">
        <v>8</v>
      </c>
      <c r="B9" s="3">
        <v>40</v>
      </c>
      <c r="C9" s="2">
        <v>48.3</v>
      </c>
      <c r="D9" s="2">
        <v>3.68</v>
      </c>
      <c r="E9" s="6">
        <f t="shared" si="1"/>
        <v>44.62</v>
      </c>
      <c r="F9" s="2">
        <f t="shared" si="0"/>
        <v>1.5638868261999997E-3</v>
      </c>
      <c r="G9" s="2">
        <v>40</v>
      </c>
      <c r="H9" s="2" t="s">
        <v>38</v>
      </c>
      <c r="I9" s="2" t="s">
        <v>24</v>
      </c>
      <c r="J9" s="2">
        <v>4.4999999999999998E-2</v>
      </c>
      <c r="K9" s="4">
        <v>5.44</v>
      </c>
      <c r="L9" s="2"/>
      <c r="M9" s="9"/>
      <c r="N9" s="9"/>
      <c r="O9" s="2"/>
      <c r="P9" s="2"/>
    </row>
    <row r="10" spans="1:16" x14ac:dyDescent="0.3">
      <c r="A10" s="2" t="s">
        <v>9</v>
      </c>
      <c r="B10" s="3">
        <v>50</v>
      </c>
      <c r="C10" s="2">
        <v>60.3</v>
      </c>
      <c r="D10" s="2">
        <v>3.91</v>
      </c>
      <c r="E10" s="6">
        <f t="shared" si="1"/>
        <v>56.39</v>
      </c>
      <c r="F10" s="2">
        <f t="shared" si="0"/>
        <v>2.4977581145499998E-3</v>
      </c>
      <c r="G10" s="2">
        <v>40</v>
      </c>
      <c r="H10" s="2" t="s">
        <v>38</v>
      </c>
      <c r="I10" s="2" t="s">
        <v>24</v>
      </c>
      <c r="J10" s="2">
        <v>4.4999999999999998E-2</v>
      </c>
      <c r="K10" s="4">
        <v>8.6300000000000008</v>
      </c>
      <c r="L10" s="2"/>
      <c r="M10" s="9"/>
      <c r="N10" s="9"/>
      <c r="O10" s="2"/>
      <c r="P10" s="2"/>
    </row>
    <row r="11" spans="1:16" x14ac:dyDescent="0.3">
      <c r="A11" s="2" t="s">
        <v>10</v>
      </c>
      <c r="B11" s="3">
        <v>65</v>
      </c>
      <c r="C11" s="2">
        <v>73</v>
      </c>
      <c r="D11" s="2">
        <v>5.16</v>
      </c>
      <c r="E11" s="6">
        <f t="shared" si="1"/>
        <v>67.84</v>
      </c>
      <c r="F11" s="2">
        <f t="shared" si="0"/>
        <v>3.6150796288000001E-3</v>
      </c>
      <c r="G11" s="2">
        <v>40</v>
      </c>
      <c r="H11" s="2" t="s">
        <v>38</v>
      </c>
      <c r="I11" s="2" t="s">
        <v>24</v>
      </c>
      <c r="J11" s="2">
        <v>4.4999999999999998E-2</v>
      </c>
      <c r="K11" s="4">
        <v>11.29</v>
      </c>
      <c r="L11" s="2"/>
      <c r="M11" s="9"/>
      <c r="N11" s="9"/>
      <c r="O11" s="2"/>
      <c r="P11" s="2"/>
    </row>
    <row r="12" spans="1:16" x14ac:dyDescent="0.3">
      <c r="A12" s="2" t="s">
        <v>11</v>
      </c>
      <c r="B12" s="3">
        <v>80</v>
      </c>
      <c r="C12" s="2">
        <v>88.9</v>
      </c>
      <c r="D12" s="2">
        <v>5.49</v>
      </c>
      <c r="E12" s="6">
        <f t="shared" si="1"/>
        <v>83.410000000000011</v>
      </c>
      <c r="F12" s="2">
        <f t="shared" si="0"/>
        <v>5.4649026725500016E-3</v>
      </c>
      <c r="G12" s="2">
        <v>40</v>
      </c>
      <c r="H12" s="2" t="s">
        <v>38</v>
      </c>
      <c r="I12" s="2" t="s">
        <v>24</v>
      </c>
      <c r="J12" s="2">
        <v>4.4999999999999998E-2</v>
      </c>
      <c r="K12" s="4">
        <v>13.57</v>
      </c>
      <c r="L12" s="2"/>
      <c r="M12" s="9"/>
      <c r="N12" s="9"/>
      <c r="O12" s="2"/>
      <c r="P12" s="2"/>
    </row>
    <row r="13" spans="1:16" x14ac:dyDescent="0.3">
      <c r="A13" s="2" t="s">
        <v>12</v>
      </c>
      <c r="B13" s="3">
        <v>100</v>
      </c>
      <c r="C13" s="2">
        <v>114.3</v>
      </c>
      <c r="D13" s="2">
        <v>6.02</v>
      </c>
      <c r="E13" s="6">
        <f t="shared" si="1"/>
        <v>108.28</v>
      </c>
      <c r="F13" s="2">
        <f t="shared" si="0"/>
        <v>9.2096406231999984E-3</v>
      </c>
      <c r="G13" s="2">
        <v>40</v>
      </c>
      <c r="H13" s="2" t="s">
        <v>38</v>
      </c>
      <c r="I13" s="2" t="s">
        <v>24</v>
      </c>
      <c r="J13" s="2">
        <v>4.4999999999999998E-2</v>
      </c>
      <c r="K13" s="4">
        <v>16.07</v>
      </c>
      <c r="L13" s="2"/>
      <c r="M13" s="9"/>
      <c r="N13" s="9"/>
      <c r="O13" s="2"/>
      <c r="P13" s="2"/>
    </row>
    <row r="14" spans="1:16" x14ac:dyDescent="0.3">
      <c r="A14" s="2" t="s">
        <v>13</v>
      </c>
      <c r="B14" s="3">
        <v>125</v>
      </c>
      <c r="C14" s="2">
        <v>141.30000000000001</v>
      </c>
      <c r="D14" s="2">
        <v>6.55</v>
      </c>
      <c r="E14" s="6">
        <f t="shared" si="1"/>
        <v>134.75</v>
      </c>
      <c r="F14" s="2">
        <f t="shared" si="0"/>
        <v>1.4262765343749999E-2</v>
      </c>
      <c r="G14" s="2">
        <v>40</v>
      </c>
      <c r="H14" s="2" t="s">
        <v>38</v>
      </c>
      <c r="I14" s="2" t="s">
        <v>24</v>
      </c>
      <c r="J14" s="2">
        <v>4.4999999999999998E-2</v>
      </c>
      <c r="K14" s="4">
        <v>21.77</v>
      </c>
      <c r="L14" s="2"/>
      <c r="M14" s="9"/>
      <c r="N14" s="9"/>
      <c r="O14" s="2"/>
      <c r="P14" s="2"/>
    </row>
    <row r="15" spans="1:16" x14ac:dyDescent="0.3">
      <c r="A15" s="2" t="s">
        <v>14</v>
      </c>
      <c r="B15" s="3">
        <v>150</v>
      </c>
      <c r="C15" s="2">
        <v>168.3</v>
      </c>
      <c r="D15" s="2">
        <v>7.11</v>
      </c>
      <c r="E15" s="6">
        <f t="shared" si="1"/>
        <v>161.19</v>
      </c>
      <c r="F15" s="2">
        <f t="shared" si="0"/>
        <v>2.0409030746550001E-2</v>
      </c>
      <c r="G15" s="2">
        <v>40</v>
      </c>
      <c r="H15" s="2" t="s">
        <v>38</v>
      </c>
      <c r="I15" s="2" t="s">
        <v>24</v>
      </c>
      <c r="J15" s="2">
        <v>4.4999999999999998E-2</v>
      </c>
      <c r="K15" s="4">
        <v>28.26</v>
      </c>
      <c r="L15" s="2"/>
      <c r="M15" s="9"/>
      <c r="N15" s="9"/>
      <c r="O15" s="2"/>
      <c r="P15" s="2"/>
    </row>
    <row r="16" spans="1:16" x14ac:dyDescent="0.3">
      <c r="A16" s="2" t="s">
        <v>15</v>
      </c>
      <c r="B16" s="3">
        <v>200</v>
      </c>
      <c r="C16" s="2">
        <v>219.1</v>
      </c>
      <c r="D16" s="2">
        <v>8.18</v>
      </c>
      <c r="E16" s="6">
        <f t="shared" si="1"/>
        <v>210.92</v>
      </c>
      <c r="F16" s="2">
        <f t="shared" si="0"/>
        <v>3.4944732047199993E-2</v>
      </c>
      <c r="G16" s="2">
        <v>40</v>
      </c>
      <c r="H16" s="2" t="s">
        <v>38</v>
      </c>
      <c r="I16" s="2" t="s">
        <v>24</v>
      </c>
      <c r="J16" s="2">
        <v>4.4999999999999998E-2</v>
      </c>
      <c r="K16" s="4">
        <v>42.55</v>
      </c>
      <c r="L16" s="2"/>
      <c r="M16" s="9"/>
      <c r="N16" s="9"/>
      <c r="O16" s="2"/>
      <c r="P16" s="2"/>
    </row>
    <row r="17" spans="1:16" x14ac:dyDescent="0.3">
      <c r="A17" s="2" t="s">
        <v>16</v>
      </c>
      <c r="B17" s="3">
        <v>250</v>
      </c>
      <c r="C17" s="2">
        <v>273</v>
      </c>
      <c r="D17" s="2">
        <v>9.27</v>
      </c>
      <c r="E17" s="6">
        <f t="shared" si="1"/>
        <v>263.73</v>
      </c>
      <c r="F17" s="2">
        <f t="shared" si="0"/>
        <v>5.4634284382950003E-2</v>
      </c>
      <c r="G17" s="2">
        <v>40</v>
      </c>
      <c r="H17" s="2" t="s">
        <v>38</v>
      </c>
      <c r="I17" s="2" t="s">
        <v>24</v>
      </c>
      <c r="J17" s="2">
        <v>4.4999999999999998E-2</v>
      </c>
      <c r="K17" s="4">
        <v>60.31</v>
      </c>
      <c r="L17" s="2"/>
      <c r="M17" s="9"/>
      <c r="N17" s="9"/>
      <c r="O17" s="2"/>
      <c r="P17" s="2"/>
    </row>
    <row r="18" spans="1:16" x14ac:dyDescent="0.3">
      <c r="A18" s="2" t="s">
        <v>17</v>
      </c>
      <c r="B18" s="3">
        <v>300</v>
      </c>
      <c r="C18" s="2">
        <v>323.89999999999998</v>
      </c>
      <c r="D18" s="2">
        <v>10.31</v>
      </c>
      <c r="E18" s="6">
        <f t="shared" si="1"/>
        <v>313.58999999999997</v>
      </c>
      <c r="F18" s="2">
        <f t="shared" si="0"/>
        <v>7.7245039502549989E-2</v>
      </c>
      <c r="G18" s="2">
        <v>40</v>
      </c>
      <c r="H18" s="2" t="s">
        <v>38</v>
      </c>
      <c r="I18" s="2" t="s">
        <v>24</v>
      </c>
      <c r="J18" s="2">
        <v>4.4999999999999998E-2</v>
      </c>
      <c r="K18" s="4">
        <v>79.73</v>
      </c>
      <c r="L18" s="2"/>
      <c r="M18" s="9"/>
      <c r="N18" s="9"/>
      <c r="O18" s="2"/>
      <c r="P18" s="2"/>
    </row>
    <row r="19" spans="1:16" x14ac:dyDescent="0.3">
      <c r="A19" s="2" t="s">
        <v>18</v>
      </c>
      <c r="B19" s="3">
        <v>350</v>
      </c>
      <c r="C19" s="2">
        <v>355.6</v>
      </c>
      <c r="D19" s="2">
        <v>11.13</v>
      </c>
      <c r="E19" s="6">
        <f t="shared" si="1"/>
        <v>344.47</v>
      </c>
      <c r="F19" s="2">
        <f t="shared" si="0"/>
        <v>9.3207100796950007E-2</v>
      </c>
      <c r="G19" s="2">
        <v>40</v>
      </c>
      <c r="H19" s="2" t="s">
        <v>38</v>
      </c>
      <c r="I19" s="2" t="s">
        <v>24</v>
      </c>
      <c r="J19" s="2">
        <v>4.4999999999999998E-2</v>
      </c>
      <c r="K19" s="4">
        <v>94.55</v>
      </c>
      <c r="L19" s="2"/>
      <c r="M19" s="9"/>
      <c r="N19" s="9"/>
      <c r="O19" s="2"/>
      <c r="P19" s="2"/>
    </row>
    <row r="20" spans="1:16" x14ac:dyDescent="0.3">
      <c r="A20" s="2" t="s">
        <v>19</v>
      </c>
      <c r="B20" s="3">
        <v>400</v>
      </c>
      <c r="C20" s="2">
        <v>406.4</v>
      </c>
      <c r="D20" s="2">
        <v>12.7</v>
      </c>
      <c r="E20" s="6">
        <f t="shared" si="1"/>
        <v>393.7</v>
      </c>
      <c r="F20" s="2">
        <f t="shared" si="0"/>
        <v>0.12175225649499999</v>
      </c>
      <c r="G20" s="2">
        <v>40</v>
      </c>
      <c r="H20" s="2" t="s">
        <v>38</v>
      </c>
      <c r="I20" s="2" t="s">
        <v>24</v>
      </c>
      <c r="J20" s="2">
        <v>4.4999999999999998E-2</v>
      </c>
      <c r="K20" s="4">
        <v>123.3</v>
      </c>
      <c r="L20" s="2"/>
      <c r="M20" s="9"/>
      <c r="N20" s="9"/>
      <c r="O20" s="2"/>
      <c r="P20" s="2"/>
    </row>
    <row r="21" spans="1:16" x14ac:dyDescent="0.3">
      <c r="A21" s="2" t="s">
        <v>20</v>
      </c>
      <c r="B21" s="3">
        <v>450</v>
      </c>
      <c r="C21" s="2">
        <v>457</v>
      </c>
      <c r="D21" s="2">
        <v>14.27</v>
      </c>
      <c r="E21" s="6">
        <f t="shared" si="1"/>
        <v>442.73</v>
      </c>
      <c r="F21" s="2">
        <f t="shared" si="0"/>
        <v>0.15396573945294997</v>
      </c>
      <c r="G21" s="2">
        <v>40</v>
      </c>
      <c r="H21" s="2" t="s">
        <v>38</v>
      </c>
      <c r="I21" s="2" t="s">
        <v>24</v>
      </c>
      <c r="J21" s="2">
        <v>4.4999999999999998E-2</v>
      </c>
      <c r="K21" s="4">
        <v>155.80000000000001</v>
      </c>
      <c r="L21" s="2"/>
      <c r="M21" s="9"/>
      <c r="N21" s="9"/>
      <c r="O21" s="2"/>
      <c r="P21" s="2"/>
    </row>
    <row r="22" spans="1:16" x14ac:dyDescent="0.3">
      <c r="A22" s="2" t="s">
        <v>21</v>
      </c>
      <c r="B22" s="3">
        <v>500</v>
      </c>
      <c r="C22" s="2">
        <v>508</v>
      </c>
      <c r="D22" s="2">
        <v>15.09</v>
      </c>
      <c r="E22" s="6">
        <f t="shared" si="1"/>
        <v>492.91</v>
      </c>
      <c r="F22" s="2">
        <f t="shared" si="0"/>
        <v>0.19084529059255001</v>
      </c>
      <c r="G22" s="2">
        <v>40</v>
      </c>
      <c r="H22" s="2" t="s">
        <v>38</v>
      </c>
      <c r="I22" s="2" t="s">
        <v>24</v>
      </c>
      <c r="J22" s="2">
        <v>4.4999999999999998E-2</v>
      </c>
      <c r="K22" s="4">
        <v>183.42</v>
      </c>
      <c r="L22" s="2"/>
      <c r="M22" s="9"/>
      <c r="N22" s="9"/>
      <c r="O22" s="2"/>
      <c r="P22" s="2"/>
    </row>
    <row r="23" spans="1:16" x14ac:dyDescent="0.3">
      <c r="A23" s="2" t="s">
        <v>22</v>
      </c>
      <c r="B23" s="3">
        <v>600</v>
      </c>
      <c r="C23" s="2">
        <v>609.6</v>
      </c>
      <c r="D23" s="2">
        <v>17.48</v>
      </c>
      <c r="E23" s="6">
        <f t="shared" si="1"/>
        <v>592.12</v>
      </c>
      <c r="F23" s="2">
        <f t="shared" si="0"/>
        <v>0.27540108715119999</v>
      </c>
      <c r="G23" s="2">
        <v>40</v>
      </c>
      <c r="H23" s="2" t="s">
        <v>38</v>
      </c>
      <c r="I23" s="2" t="s">
        <v>24</v>
      </c>
      <c r="J23" s="2">
        <v>4.4999999999999998E-2</v>
      </c>
      <c r="K23" s="4">
        <v>255.41</v>
      </c>
      <c r="L23" s="2"/>
      <c r="M23" s="9"/>
      <c r="N23" s="9"/>
      <c r="O23" s="2"/>
      <c r="P23" s="2"/>
    </row>
    <row r="24" spans="1:16" x14ac:dyDescent="0.3">
      <c r="A24" s="2" t="s">
        <v>1</v>
      </c>
      <c r="B24" s="3">
        <v>6</v>
      </c>
      <c r="C24" s="2">
        <v>10.3</v>
      </c>
      <c r="D24" s="2">
        <v>2.41</v>
      </c>
      <c r="E24" s="6">
        <f t="shared" si="1"/>
        <v>7.8900000000000006</v>
      </c>
      <c r="F24" s="2">
        <f t="shared" si="0"/>
        <v>4.8899024550000007E-5</v>
      </c>
      <c r="G24" s="2">
        <v>80</v>
      </c>
      <c r="H24" s="2" t="s">
        <v>38</v>
      </c>
      <c r="I24" s="2" t="s">
        <v>24</v>
      </c>
      <c r="J24" s="2">
        <v>4.4999999999999998E-2</v>
      </c>
      <c r="K24" s="5">
        <v>0.47</v>
      </c>
      <c r="L24" s="2"/>
      <c r="M24" s="9"/>
      <c r="N24" s="9"/>
      <c r="O24" s="2"/>
      <c r="P24" s="2"/>
    </row>
    <row r="25" spans="1:16" x14ac:dyDescent="0.3">
      <c r="A25" s="2" t="s">
        <v>2</v>
      </c>
      <c r="B25" s="3">
        <v>8</v>
      </c>
      <c r="C25" s="2">
        <v>13.7</v>
      </c>
      <c r="D25" s="2">
        <v>3.02</v>
      </c>
      <c r="E25" s="6">
        <f t="shared" si="1"/>
        <v>10.68</v>
      </c>
      <c r="F25" s="2">
        <f t="shared" si="0"/>
        <v>8.9596015199999991E-5</v>
      </c>
      <c r="G25" s="2">
        <v>80</v>
      </c>
      <c r="H25" s="2" t="s">
        <v>38</v>
      </c>
      <c r="I25" s="2" t="s">
        <v>24</v>
      </c>
      <c r="J25" s="2">
        <v>4.4999999999999998E-2</v>
      </c>
      <c r="K25" s="5">
        <v>0.8</v>
      </c>
      <c r="L25" s="2"/>
      <c r="M25" s="9"/>
      <c r="N25" s="9"/>
      <c r="O25" s="2"/>
      <c r="P25" s="2"/>
    </row>
    <row r="26" spans="1:16" x14ac:dyDescent="0.3">
      <c r="A26" s="2" t="s">
        <v>3</v>
      </c>
      <c r="B26" s="3">
        <v>10</v>
      </c>
      <c r="C26" s="2">
        <v>17.100000000000001</v>
      </c>
      <c r="D26" s="2">
        <v>3.2</v>
      </c>
      <c r="E26" s="6">
        <f t="shared" si="1"/>
        <v>13.900000000000002</v>
      </c>
      <c r="F26" s="2">
        <f t="shared" si="0"/>
        <v>1.5176645500000004E-4</v>
      </c>
      <c r="G26" s="2">
        <v>80</v>
      </c>
      <c r="H26" s="2" t="s">
        <v>38</v>
      </c>
      <c r="I26" s="2" t="s">
        <v>24</v>
      </c>
      <c r="J26" s="2">
        <v>4.4999999999999998E-2</v>
      </c>
      <c r="K26" s="5">
        <v>1.1000000000000001</v>
      </c>
      <c r="L26" s="2"/>
      <c r="M26" s="9"/>
      <c r="N26" s="9"/>
      <c r="O26" s="2"/>
      <c r="P26" s="2"/>
    </row>
    <row r="27" spans="1:16" x14ac:dyDescent="0.3">
      <c r="A27" s="2" t="s">
        <v>4</v>
      </c>
      <c r="B27" s="2">
        <v>15</v>
      </c>
      <c r="C27" s="2">
        <v>21.3</v>
      </c>
      <c r="D27" s="2">
        <v>3.73</v>
      </c>
      <c r="E27" s="6">
        <f t="shared" si="1"/>
        <v>17.57</v>
      </c>
      <c r="F27" s="2">
        <f t="shared" si="0"/>
        <v>2.4248769895000001E-4</v>
      </c>
      <c r="G27" s="2">
        <v>80</v>
      </c>
      <c r="H27" s="2" t="s">
        <v>38</v>
      </c>
      <c r="I27" s="2" t="s">
        <v>24</v>
      </c>
      <c r="J27" s="2">
        <v>4.4999999999999998E-2</v>
      </c>
      <c r="K27" s="5">
        <v>1.62</v>
      </c>
      <c r="L27" s="2"/>
      <c r="M27" s="2"/>
      <c r="N27" s="2"/>
      <c r="O27" s="2"/>
      <c r="P27" s="2"/>
    </row>
    <row r="28" spans="1:16" x14ac:dyDescent="0.3">
      <c r="A28" s="2" t="s">
        <v>5</v>
      </c>
      <c r="B28" s="3">
        <v>20</v>
      </c>
      <c r="C28" s="2">
        <v>26.7</v>
      </c>
      <c r="D28" s="2">
        <v>3.91</v>
      </c>
      <c r="E28" s="6">
        <f t="shared" si="1"/>
        <v>22.79</v>
      </c>
      <c r="F28" s="2">
        <f t="shared" si="0"/>
        <v>4.0797621054999996E-4</v>
      </c>
      <c r="G28" s="2">
        <v>80</v>
      </c>
      <c r="H28" s="2" t="s">
        <v>38</v>
      </c>
      <c r="I28" s="2" t="s">
        <v>24</v>
      </c>
      <c r="J28" s="2">
        <v>4.4999999999999998E-2</v>
      </c>
      <c r="K28" s="5">
        <v>2.2000000000000002</v>
      </c>
      <c r="L28" s="2"/>
      <c r="M28" s="2"/>
      <c r="N28" s="2"/>
      <c r="O28" s="2"/>
      <c r="P28" s="2"/>
    </row>
    <row r="29" spans="1:16" x14ac:dyDescent="0.3">
      <c r="A29" s="2" t="s">
        <v>6</v>
      </c>
      <c r="B29" s="3">
        <v>25</v>
      </c>
      <c r="C29" s="2">
        <v>33.4</v>
      </c>
      <c r="D29" s="2">
        <v>4.55</v>
      </c>
      <c r="E29" s="6">
        <f t="shared" si="1"/>
        <v>28.849999999999998</v>
      </c>
      <c r="F29" s="2">
        <f t="shared" si="0"/>
        <v>6.537893237499999E-4</v>
      </c>
      <c r="G29" s="2">
        <v>80</v>
      </c>
      <c r="H29" s="2" t="s">
        <v>38</v>
      </c>
      <c r="I29" s="2" t="s">
        <v>24</v>
      </c>
      <c r="J29" s="2">
        <v>4.4999999999999998E-2</v>
      </c>
      <c r="K29" s="5">
        <v>3.24</v>
      </c>
      <c r="L29" s="2"/>
      <c r="M29" s="2"/>
      <c r="N29" s="2"/>
      <c r="O29" s="2"/>
      <c r="P29" s="2"/>
    </row>
    <row r="30" spans="1:16" x14ac:dyDescent="0.3">
      <c r="A30" s="2" t="s">
        <v>7</v>
      </c>
      <c r="B30" s="3">
        <v>32</v>
      </c>
      <c r="C30" s="2">
        <v>42.2</v>
      </c>
      <c r="D30" s="2">
        <v>4.8499999999999996</v>
      </c>
      <c r="E30" s="6">
        <f t="shared" si="1"/>
        <v>37.35</v>
      </c>
      <c r="F30" s="2">
        <f t="shared" si="0"/>
        <v>1.0957901737500002E-3</v>
      </c>
      <c r="G30" s="2">
        <v>80</v>
      </c>
      <c r="H30" s="2" t="s">
        <v>38</v>
      </c>
      <c r="I30" s="2" t="s">
        <v>24</v>
      </c>
      <c r="J30" s="2">
        <v>4.4999999999999998E-2</v>
      </c>
      <c r="K30" s="5">
        <v>4.47</v>
      </c>
      <c r="L30" s="2"/>
      <c r="M30" s="2"/>
      <c r="N30" s="2"/>
      <c r="O30" s="2"/>
      <c r="P30" s="2"/>
    </row>
    <row r="31" spans="1:16" x14ac:dyDescent="0.3">
      <c r="A31" s="2" t="s">
        <v>8</v>
      </c>
      <c r="B31" s="3">
        <v>40</v>
      </c>
      <c r="C31" s="2">
        <v>48.3</v>
      </c>
      <c r="D31" s="2">
        <v>5.08</v>
      </c>
      <c r="E31" s="6">
        <f t="shared" si="1"/>
        <v>43.22</v>
      </c>
      <c r="F31" s="2">
        <f t="shared" si="0"/>
        <v>1.4672891782E-3</v>
      </c>
      <c r="G31" s="2">
        <v>80</v>
      </c>
      <c r="H31" s="2" t="s">
        <v>38</v>
      </c>
      <c r="I31" s="2" t="s">
        <v>24</v>
      </c>
      <c r="J31" s="2">
        <v>4.4999999999999998E-2</v>
      </c>
      <c r="K31" s="5">
        <v>5.41</v>
      </c>
      <c r="L31" s="2"/>
      <c r="M31" s="2"/>
      <c r="N31" s="2"/>
      <c r="O31" s="2"/>
      <c r="P31" s="2"/>
    </row>
    <row r="32" spans="1:16" x14ac:dyDescent="0.3">
      <c r="A32" s="2" t="s">
        <v>9</v>
      </c>
      <c r="B32" s="3">
        <v>50</v>
      </c>
      <c r="C32" s="2">
        <v>60.3</v>
      </c>
      <c r="D32" s="2">
        <v>5.54</v>
      </c>
      <c r="E32" s="6">
        <f t="shared" si="1"/>
        <v>54.76</v>
      </c>
      <c r="F32" s="2">
        <f t="shared" si="0"/>
        <v>2.3554455447999997E-3</v>
      </c>
      <c r="G32" s="2">
        <v>80</v>
      </c>
      <c r="H32" s="2" t="s">
        <v>38</v>
      </c>
      <c r="I32" s="2" t="s">
        <v>24</v>
      </c>
      <c r="J32" s="2">
        <v>4.4999999999999998E-2</v>
      </c>
      <c r="K32" s="5">
        <v>7.48</v>
      </c>
      <c r="L32" s="2"/>
      <c r="M32" s="2"/>
      <c r="N32" s="2"/>
      <c r="O32" s="2"/>
      <c r="P32" s="2"/>
    </row>
    <row r="33" spans="1:16" x14ac:dyDescent="0.3">
      <c r="A33" s="2" t="s">
        <v>10</v>
      </c>
      <c r="B33" s="3">
        <v>65</v>
      </c>
      <c r="C33" s="2">
        <v>73</v>
      </c>
      <c r="D33" s="2">
        <v>7.01</v>
      </c>
      <c r="E33" s="6">
        <f t="shared" si="1"/>
        <v>65.989999999999995</v>
      </c>
      <c r="F33" s="2">
        <f t="shared" si="0"/>
        <v>3.4206012185499994E-3</v>
      </c>
      <c r="G33" s="2">
        <v>80</v>
      </c>
      <c r="H33" s="2" t="s">
        <v>38</v>
      </c>
      <c r="I33" s="2" t="s">
        <v>24</v>
      </c>
      <c r="J33" s="2">
        <v>4.4999999999999998E-2</v>
      </c>
      <c r="K33" s="5">
        <v>11.41</v>
      </c>
      <c r="L33" s="2"/>
      <c r="M33" s="2"/>
      <c r="N33" s="2"/>
      <c r="O33" s="2"/>
      <c r="P33" s="2"/>
    </row>
    <row r="34" spans="1:16" x14ac:dyDescent="0.3">
      <c r="A34" s="2" t="s">
        <v>11</v>
      </c>
      <c r="B34" s="3">
        <v>80</v>
      </c>
      <c r="C34" s="2">
        <v>88.9</v>
      </c>
      <c r="D34" s="2">
        <v>7.62</v>
      </c>
      <c r="E34" s="6">
        <f t="shared" si="1"/>
        <v>81.28</v>
      </c>
      <c r="F34" s="2">
        <f t="shared" si="0"/>
        <v>5.1893573631999999E-3</v>
      </c>
      <c r="G34" s="2">
        <v>80</v>
      </c>
      <c r="H34" s="2" t="s">
        <v>38</v>
      </c>
      <c r="I34" s="2" t="s">
        <v>24</v>
      </c>
      <c r="J34" s="2">
        <v>4.4999999999999998E-2</v>
      </c>
      <c r="K34" s="5">
        <v>15.27</v>
      </c>
      <c r="L34" s="2"/>
      <c r="M34" s="2"/>
      <c r="N34" s="2"/>
      <c r="O34" s="2"/>
      <c r="P34" s="2"/>
    </row>
    <row r="35" spans="1:16" x14ac:dyDescent="0.3">
      <c r="A35" s="2" t="s">
        <v>12</v>
      </c>
      <c r="B35" s="3">
        <v>100</v>
      </c>
      <c r="C35" s="2">
        <v>114.3</v>
      </c>
      <c r="D35" s="2">
        <v>8.56</v>
      </c>
      <c r="E35" s="6">
        <f t="shared" si="1"/>
        <v>105.74</v>
      </c>
      <c r="F35" s="2">
        <f t="shared" si="0"/>
        <v>8.7826343397999981E-3</v>
      </c>
      <c r="G35" s="2">
        <v>80</v>
      </c>
      <c r="H35" s="2" t="s">
        <v>38</v>
      </c>
      <c r="I35" s="2" t="s">
        <v>24</v>
      </c>
      <c r="J35" s="2">
        <v>4.4999999999999998E-2</v>
      </c>
      <c r="K35" s="5">
        <v>22.32</v>
      </c>
      <c r="L35" s="2"/>
      <c r="M35" s="2"/>
      <c r="N35" s="2"/>
      <c r="O35" s="2"/>
      <c r="P35" s="2"/>
    </row>
    <row r="36" spans="1:16" x14ac:dyDescent="0.3">
      <c r="A36" s="2" t="s">
        <v>13</v>
      </c>
      <c r="B36" s="3">
        <v>125</v>
      </c>
      <c r="C36" s="2">
        <v>141.30000000000001</v>
      </c>
      <c r="D36" s="2">
        <v>9.5299999999999994</v>
      </c>
      <c r="E36" s="6">
        <f t="shared" si="1"/>
        <v>131.77000000000001</v>
      </c>
      <c r="F36" s="2">
        <f t="shared" si="0"/>
        <v>1.3638897992950002E-2</v>
      </c>
      <c r="G36" s="2">
        <v>80</v>
      </c>
      <c r="H36" s="2" t="s">
        <v>38</v>
      </c>
      <c r="I36" s="2" t="s">
        <v>24</v>
      </c>
      <c r="J36" s="2">
        <v>4.4999999999999998E-2</v>
      </c>
      <c r="K36" s="5">
        <v>30.97</v>
      </c>
      <c r="L36" s="2"/>
      <c r="M36" s="2"/>
      <c r="N36" s="2"/>
      <c r="O36" s="2"/>
      <c r="P36" s="2"/>
    </row>
    <row r="37" spans="1:16" x14ac:dyDescent="0.3">
      <c r="A37" s="2" t="s">
        <v>14</v>
      </c>
      <c r="B37" s="3">
        <v>150</v>
      </c>
      <c r="C37" s="2">
        <v>168.3</v>
      </c>
      <c r="D37" s="2">
        <v>10.97</v>
      </c>
      <c r="E37" s="6">
        <f t="shared" si="1"/>
        <v>157.33000000000001</v>
      </c>
      <c r="F37" s="2">
        <f t="shared" si="0"/>
        <v>1.9443268550950004E-2</v>
      </c>
      <c r="G37" s="2">
        <v>80</v>
      </c>
      <c r="H37" s="2" t="s">
        <v>38</v>
      </c>
      <c r="I37" s="2" t="s">
        <v>24</v>
      </c>
      <c r="J37" s="2">
        <v>4.4999999999999998E-2</v>
      </c>
      <c r="K37" s="5">
        <v>42.56</v>
      </c>
      <c r="L37" s="2"/>
      <c r="M37" s="2"/>
      <c r="N37" s="2"/>
      <c r="O37" s="2"/>
      <c r="P37" s="2"/>
    </row>
    <row r="38" spans="1:16" x14ac:dyDescent="0.3">
      <c r="A38" s="2" t="s">
        <v>15</v>
      </c>
      <c r="B38" s="3">
        <v>200</v>
      </c>
      <c r="C38" s="2">
        <v>219.1</v>
      </c>
      <c r="D38" s="2">
        <v>12.7</v>
      </c>
      <c r="E38" s="6">
        <f t="shared" si="1"/>
        <v>206.4</v>
      </c>
      <c r="F38" s="2">
        <f t="shared" si="0"/>
        <v>3.3463054079999999E-2</v>
      </c>
      <c r="G38" s="2">
        <v>80</v>
      </c>
      <c r="H38" s="2" t="s">
        <v>38</v>
      </c>
      <c r="I38" s="2" t="s">
        <v>24</v>
      </c>
      <c r="J38" s="2">
        <v>4.4999999999999998E-2</v>
      </c>
      <c r="K38" s="5">
        <v>64.64</v>
      </c>
      <c r="L38" s="2"/>
      <c r="M38" s="2"/>
      <c r="N38" s="2"/>
      <c r="O38" s="2"/>
      <c r="P38" s="2"/>
    </row>
    <row r="39" spans="1:16" x14ac:dyDescent="0.3">
      <c r="A39" s="2" t="s">
        <v>16</v>
      </c>
      <c r="B39" s="3">
        <v>250</v>
      </c>
      <c r="C39" s="2">
        <v>273</v>
      </c>
      <c r="D39" s="2">
        <v>15.09</v>
      </c>
      <c r="E39" s="6">
        <f t="shared" si="1"/>
        <v>257.91000000000003</v>
      </c>
      <c r="F39" s="2">
        <f t="shared" si="0"/>
        <v>5.2249549742550007E-2</v>
      </c>
      <c r="G39" s="2">
        <v>80</v>
      </c>
      <c r="H39" s="2" t="s">
        <v>38</v>
      </c>
      <c r="I39" s="2" t="s">
        <v>24</v>
      </c>
      <c r="J39" s="2">
        <v>4.4999999999999998E-2</v>
      </c>
      <c r="K39" s="5">
        <v>95.98</v>
      </c>
      <c r="L39" s="2"/>
      <c r="M39" s="2"/>
      <c r="N39" s="2"/>
      <c r="O39" s="2"/>
      <c r="P39" s="2"/>
    </row>
    <row r="40" spans="1:16" x14ac:dyDescent="0.3">
      <c r="A40" s="2" t="s">
        <v>17</v>
      </c>
      <c r="B40" s="3">
        <v>300</v>
      </c>
      <c r="C40" s="2">
        <v>323.89999999999998</v>
      </c>
      <c r="D40" s="2">
        <v>17.48</v>
      </c>
      <c r="E40" s="6">
        <f t="shared" si="1"/>
        <v>306.41999999999996</v>
      </c>
      <c r="F40" s="2">
        <f t="shared" si="0"/>
        <v>7.3753121482199979E-2</v>
      </c>
      <c r="G40" s="2">
        <v>80</v>
      </c>
      <c r="H40" s="2" t="s">
        <v>38</v>
      </c>
      <c r="I40" s="2" t="s">
        <v>24</v>
      </c>
      <c r="J40" s="2">
        <v>4.4999999999999998E-2</v>
      </c>
      <c r="K40" s="5">
        <v>132.05000000000001</v>
      </c>
      <c r="L40" s="2"/>
      <c r="M40" s="2"/>
      <c r="N40" s="2"/>
      <c r="O40" s="2"/>
      <c r="P40" s="2"/>
    </row>
    <row r="41" spans="1:16" x14ac:dyDescent="0.3">
      <c r="A41" s="2" t="s">
        <v>18</v>
      </c>
      <c r="B41" s="3">
        <v>350</v>
      </c>
      <c r="C41" s="2">
        <v>355.6</v>
      </c>
      <c r="D41" s="2">
        <v>19.05</v>
      </c>
      <c r="E41" s="6">
        <f t="shared" si="1"/>
        <v>336.55</v>
      </c>
      <c r="F41" s="2">
        <f t="shared" si="0"/>
        <v>8.8970366413750002E-2</v>
      </c>
      <c r="G41" s="2">
        <v>80</v>
      </c>
      <c r="H41" s="2" t="s">
        <v>38</v>
      </c>
      <c r="I41" s="2" t="s">
        <v>24</v>
      </c>
      <c r="J41" s="2">
        <v>4.4999999999999998E-2</v>
      </c>
      <c r="K41" s="5">
        <v>158.11000000000001</v>
      </c>
      <c r="L41" s="2"/>
      <c r="M41" s="2"/>
      <c r="N41" s="2"/>
      <c r="O41" s="2"/>
      <c r="P41" s="2"/>
    </row>
    <row r="42" spans="1:16" x14ac:dyDescent="0.3">
      <c r="A42" s="2" t="s">
        <v>19</v>
      </c>
      <c r="B42" s="3">
        <v>400</v>
      </c>
      <c r="C42" s="2">
        <v>406.4</v>
      </c>
      <c r="D42" s="2">
        <v>21.44</v>
      </c>
      <c r="E42" s="6">
        <f t="shared" si="1"/>
        <v>384.96</v>
      </c>
      <c r="F42" s="2">
        <f t="shared" si="0"/>
        <v>0.11640654535679999</v>
      </c>
      <c r="G42" s="2">
        <v>80</v>
      </c>
      <c r="H42" s="2" t="s">
        <v>38</v>
      </c>
      <c r="I42" s="2" t="s">
        <v>24</v>
      </c>
      <c r="J42" s="2">
        <v>4.4999999999999998E-2</v>
      </c>
      <c r="K42" s="5">
        <v>203.54</v>
      </c>
      <c r="L42" s="2"/>
      <c r="M42" s="2"/>
      <c r="N42" s="2"/>
      <c r="O42" s="2"/>
      <c r="P42" s="2"/>
    </row>
    <row r="43" spans="1:16" x14ac:dyDescent="0.3">
      <c r="A43" s="2" t="s">
        <v>20</v>
      </c>
      <c r="B43" s="3">
        <v>450</v>
      </c>
      <c r="C43" s="2">
        <v>457</v>
      </c>
      <c r="D43" s="2">
        <v>23.83</v>
      </c>
      <c r="E43" s="6">
        <f t="shared" si="1"/>
        <v>433.17</v>
      </c>
      <c r="F43" s="2">
        <f t="shared" si="0"/>
        <v>0.14738827351095002</v>
      </c>
      <c r="G43" s="2">
        <v>80</v>
      </c>
      <c r="H43" s="2" t="s">
        <v>38</v>
      </c>
      <c r="I43" s="2" t="s">
        <v>24</v>
      </c>
      <c r="J43" s="2">
        <v>4.4999999999999998E-2</v>
      </c>
      <c r="K43" s="5">
        <v>254.57</v>
      </c>
      <c r="L43" s="2"/>
      <c r="M43" s="2"/>
      <c r="N43" s="2"/>
      <c r="O43" s="2"/>
      <c r="P43" s="2"/>
    </row>
    <row r="44" spans="1:16" x14ac:dyDescent="0.3">
      <c r="A44" s="2" t="s">
        <v>21</v>
      </c>
      <c r="B44" s="3">
        <v>500</v>
      </c>
      <c r="C44" s="2">
        <v>508</v>
      </c>
      <c r="D44" s="2">
        <v>26.19</v>
      </c>
      <c r="E44" s="6">
        <f t="shared" si="1"/>
        <v>481.81</v>
      </c>
      <c r="F44" s="2">
        <f t="shared" si="0"/>
        <v>0.18234665817654999</v>
      </c>
      <c r="G44" s="2">
        <v>80</v>
      </c>
      <c r="H44" s="2" t="s">
        <v>38</v>
      </c>
      <c r="I44" s="2" t="s">
        <v>24</v>
      </c>
      <c r="J44" s="2">
        <v>4.4999999999999998E-2</v>
      </c>
      <c r="K44" s="5">
        <v>311.19</v>
      </c>
      <c r="L44" s="2"/>
      <c r="M44" s="2"/>
      <c r="N44" s="2"/>
      <c r="O44" s="2"/>
      <c r="P44" s="2"/>
    </row>
    <row r="45" spans="1:16" x14ac:dyDescent="0.3">
      <c r="A45" s="2" t="s">
        <v>22</v>
      </c>
      <c r="B45" s="3">
        <v>600</v>
      </c>
      <c r="C45" s="2">
        <v>609.6</v>
      </c>
      <c r="D45" s="2">
        <v>30.96</v>
      </c>
      <c r="E45" s="6">
        <f t="shared" si="1"/>
        <v>578.64</v>
      </c>
      <c r="F45" s="2">
        <f t="shared" si="0"/>
        <v>0.26300444806079998</v>
      </c>
      <c r="G45" s="2">
        <v>80</v>
      </c>
      <c r="H45" s="2" t="s">
        <v>38</v>
      </c>
      <c r="I45" s="2" t="s">
        <v>24</v>
      </c>
      <c r="J45" s="2">
        <v>4.4999999999999998E-2</v>
      </c>
      <c r="K45" s="5">
        <v>442.11</v>
      </c>
      <c r="L45" s="2"/>
      <c r="M45" s="2"/>
      <c r="N45" s="2"/>
      <c r="O45" s="2"/>
      <c r="P4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18E28-9DF9-4434-B814-7BC0DD9B815F}">
  <dimension ref="A1:B5"/>
  <sheetViews>
    <sheetView workbookViewId="0">
      <selection activeCell="F6" sqref="F6"/>
    </sheetView>
  </sheetViews>
  <sheetFormatPr defaultRowHeight="14.4" x14ac:dyDescent="0.3"/>
  <sheetData>
    <row r="1" spans="1:2" ht="43.2" x14ac:dyDescent="0.3">
      <c r="A1" s="10" t="s">
        <v>23</v>
      </c>
      <c r="B1" s="12" t="s">
        <v>40</v>
      </c>
    </row>
    <row r="2" spans="1:2" x14ac:dyDescent="0.3">
      <c r="A2" s="13" t="s">
        <v>24</v>
      </c>
      <c r="B2" s="11">
        <v>4.4999999999999998E-2</v>
      </c>
    </row>
    <row r="3" spans="1:2" x14ac:dyDescent="0.3">
      <c r="A3" s="13" t="s">
        <v>41</v>
      </c>
      <c r="B3" s="11">
        <v>1.4999999999999999E-2</v>
      </c>
    </row>
    <row r="4" spans="1:2" x14ac:dyDescent="0.3">
      <c r="A4" s="13" t="s">
        <v>42</v>
      </c>
      <c r="B4" s="11">
        <v>1.4999999999999999E-2</v>
      </c>
    </row>
    <row r="5" spans="1:2" x14ac:dyDescent="0.3">
      <c r="A5" s="13" t="s">
        <v>43</v>
      </c>
      <c r="B5" s="11">
        <v>1.5E-3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Pipe_Dimensions</vt:lpstr>
      <vt:lpstr>Abs_Roughness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Rajesh Yadav</cp:lastModifiedBy>
  <dcterms:created xsi:type="dcterms:W3CDTF">2015-06-05T18:17:20Z</dcterms:created>
  <dcterms:modified xsi:type="dcterms:W3CDTF">2026-07-18T16:21:47Z</dcterms:modified>
</cp:coreProperties>
</file>