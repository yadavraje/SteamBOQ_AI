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V_Input" sheetId="1" state="visible" r:id="rId1"/>
    <sheet xmlns:r="http://schemas.openxmlformats.org/officeDocument/2006/relationships" name="PRV_Database" sheetId="2" state="visible" r:id="rId2"/>
    <sheet xmlns:r="http://schemas.openxmlformats.org/officeDocument/2006/relationships" name="PRV_Results" sheetId="3" state="visible" r:id="rId3"/>
    <sheet xmlns:r="http://schemas.openxmlformats.org/officeDocument/2006/relationships" name="Steam_Properties" sheetId="4" state="visible" r:id="rId4"/>
    <sheet xmlns:r="http://schemas.openxmlformats.org/officeDocument/2006/relationships" name="Direct_Acting_PRV" sheetId="5" state="visible" r:id="rId5"/>
    <sheet xmlns:r="http://schemas.openxmlformats.org/officeDocument/2006/relationships" name="Pilot_Operated_PRV" sheetId="6" state="visible" r:id="rId6"/>
    <sheet xmlns:r="http://schemas.openxmlformats.org/officeDocument/2006/relationships" name="PRV_Station_BO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Steam Flow</t>
        </is>
      </c>
      <c r="B2" s="2" t="n">
        <v>1500</v>
      </c>
      <c r="C2" t="inlineStr">
        <is>
          <t>kg/hr</t>
        </is>
      </c>
    </row>
    <row r="3">
      <c r="A3" t="inlineStr">
        <is>
          <t>Inlet Pressure</t>
        </is>
      </c>
      <c r="B3" s="2" t="n">
        <v>15</v>
      </c>
      <c r="C3" t="inlineStr">
        <is>
          <t>barg</t>
        </is>
      </c>
    </row>
    <row r="4">
      <c r="A4" t="inlineStr">
        <is>
          <t>Outlet Pressure</t>
        </is>
      </c>
      <c r="B4" s="2" t="n">
        <v>3</v>
      </c>
      <c r="C4" t="inlineStr">
        <is>
          <t>barg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9" customWidth="1" min="4" max="4"/>
  </cols>
  <sheetData>
    <row r="1">
      <c r="A1" s="1" t="inlineStr">
        <is>
          <t>Valve Model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Capacity kg/hr</t>
        </is>
      </c>
    </row>
    <row r="2">
      <c r="A2" t="inlineStr">
        <is>
          <t>FM-P100</t>
        </is>
      </c>
      <c r="B2" t="inlineStr">
        <is>
          <t>Pilot</t>
        </is>
      </c>
      <c r="C2" t="inlineStr">
        <is>
          <t>1"</t>
        </is>
      </c>
      <c r="D2" t="n">
        <v>1200</v>
      </c>
    </row>
    <row r="3">
      <c r="A3" t="inlineStr">
        <is>
          <t>FM-P150</t>
        </is>
      </c>
      <c r="B3" t="inlineStr">
        <is>
          <t>Pilot</t>
        </is>
      </c>
      <c r="C3" t="inlineStr">
        <is>
          <t>1.5"</t>
        </is>
      </c>
      <c r="D3" t="n">
        <v>2200</v>
      </c>
    </row>
    <row r="4">
      <c r="A4" t="inlineStr">
        <is>
          <t>FM-P200</t>
        </is>
      </c>
      <c r="B4" t="inlineStr">
        <is>
          <t>Pilot</t>
        </is>
      </c>
      <c r="C4" t="inlineStr">
        <is>
          <t>2"</t>
        </is>
      </c>
      <c r="D4" t="n">
        <v>4200</v>
      </c>
    </row>
    <row r="5">
      <c r="A5" t="inlineStr">
        <is>
          <t>FM-P300</t>
        </is>
      </c>
      <c r="B5" t="inlineStr">
        <is>
          <t>Pilot</t>
        </is>
      </c>
      <c r="C5" t="inlineStr">
        <is>
          <t>3"</t>
        </is>
      </c>
      <c r="D5" t="n">
        <v>7000</v>
      </c>
    </row>
    <row r="6">
      <c r="A6" t="inlineStr">
        <is>
          <t>FM-P400</t>
        </is>
      </c>
      <c r="B6" t="inlineStr">
        <is>
          <t>Pilot</t>
        </is>
      </c>
      <c r="C6" t="inlineStr">
        <is>
          <t>4"</t>
        </is>
      </c>
      <c r="D6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Output</t>
        </is>
      </c>
      <c r="B1" s="1" t="inlineStr">
        <is>
          <t>Value</t>
        </is>
      </c>
    </row>
    <row r="2">
      <c r="A2" t="inlineStr">
        <is>
          <t>Recommended Size</t>
        </is>
      </c>
      <c r="B2">
        <f>INDEX(PRV_Database!C2:C6,MATCH(PRV_Input!B2,PRV_Database!D2:D6,1)+1)</f>
        <v/>
      </c>
    </row>
    <row r="3">
      <c r="A3" t="inlineStr">
        <is>
          <t>Valve Model</t>
        </is>
      </c>
      <c r="B3">
        <f>INDEX(PRV_Database!A2:A6,MATCH(PRV_Input!B2,PRV_Database!D2:D6,1)+1)</f>
        <v/>
      </c>
    </row>
    <row r="4">
      <c r="A4" t="inlineStr">
        <is>
          <t>Capacity kg/hr</t>
        </is>
      </c>
      <c r="B4">
        <f>INDEX(PRV_Database!D2:D6,MATCH(PRV_Input!B2,PRV_Database!D2:D6,1)+1)</f>
        <v/>
      </c>
    </row>
    <row r="5">
      <c r="A5" t="inlineStr">
        <is>
          <t>Utilization %</t>
        </is>
      </c>
      <c r="B5">
        <f>PRV_Input!B2/B4</f>
        <v/>
      </c>
    </row>
    <row r="6">
      <c r="A6" t="inlineStr">
        <is>
          <t>Sizing Comment</t>
        </is>
      </c>
      <c r="B6">
        <f>IF(B5&gt;0.85,"Near Capacity",IF(B5&lt;0.35,"Possibly Oversized","Good Selection"))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13" customWidth="1" min="4" max="4"/>
  </cols>
  <sheetData>
    <row r="1">
      <c r="A1" t="inlineStr">
        <is>
          <t>Populate steam table data here for future interpolation.</t>
        </is>
      </c>
    </row>
    <row r="2">
      <c r="A2" t="inlineStr">
        <is>
          <t>Pressure (barg)</t>
        </is>
      </c>
      <c r="B2" t="inlineStr">
        <is>
          <t>Specific Volume</t>
        </is>
      </c>
      <c r="C2" t="inlineStr">
        <is>
          <t>Sat Temp</t>
        </is>
      </c>
      <c r="D2" t="inlineStr">
        <is>
          <t>Enthalpy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Enter manufacturer capacity tables for direct acting PRVs.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Enter manufacturer capacity tables for pilot operated PRVs.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Isolation Valve Upstream</t>
        </is>
      </c>
      <c r="B2" t="n">
        <v>1</v>
      </c>
    </row>
    <row r="3">
      <c r="A3" t="inlineStr">
        <is>
          <t>Y Strainer</t>
        </is>
      </c>
      <c r="B3" t="n">
        <v>1</v>
      </c>
    </row>
    <row r="4">
      <c r="A4" t="inlineStr">
        <is>
          <t>PRV</t>
        </is>
      </c>
      <c r="B4" t="n">
        <v>1</v>
      </c>
    </row>
    <row r="5">
      <c r="A5" t="inlineStr">
        <is>
          <t>Pressure Gauge Upstream</t>
        </is>
      </c>
      <c r="B5" t="n">
        <v>1</v>
      </c>
    </row>
    <row r="6">
      <c r="A6" t="inlineStr">
        <is>
          <t>Pressure Gauge Downstream</t>
        </is>
      </c>
      <c r="B6" t="n">
        <v>1</v>
      </c>
    </row>
    <row r="7">
      <c r="A7" t="inlineStr">
        <is>
          <t>Separator</t>
        </is>
      </c>
      <c r="B7" t="n">
        <v>1</v>
      </c>
    </row>
    <row r="8">
      <c r="A8" t="inlineStr">
        <is>
          <t>Steam Trap</t>
        </is>
      </c>
      <c r="B8" t="n">
        <v>1</v>
      </c>
    </row>
    <row r="9">
      <c r="A9" t="inlineStr">
        <is>
          <t>Safety Valve</t>
        </is>
      </c>
      <c r="B9" t="n">
        <v>1</v>
      </c>
    </row>
    <row r="10">
      <c r="A10" t="inlineStr">
        <is>
          <t>Isolation Valve Downstream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2026-06-14T11:17:48Z</dcterms:created>
  <dcterms:modified xmlns:dcterms="http://purl.org/dc/terms/" xmlns:xsi="http://www.w3.org/2001/XMLSchema-instance" xsi:type="dcterms:W3CDTF">2026-06-14T11:17:48Z</dcterms:modified>
</cp:coreProperties>
</file>